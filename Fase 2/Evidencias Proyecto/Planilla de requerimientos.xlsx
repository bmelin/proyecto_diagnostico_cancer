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</sheets>
  <definedNames/>
  <calcPr/>
  <extLst>
    <ext uri="GoogleSheetsCustomDataVersion2">
      <go:sheetsCustomData xmlns:go="http://customooxmlschemas.google.com/" r:id="rId5" roundtripDataChecksum="LwngMRizAYrVPXm5hmsw5DjXaEUlcZKSoSh/39BwBs8="/>
    </ext>
  </extLst>
</workbook>
</file>

<file path=xl/sharedStrings.xml><?xml version="1.0" encoding="utf-8"?>
<sst xmlns="http://schemas.openxmlformats.org/spreadsheetml/2006/main" count="128" uniqueCount="82">
  <si>
    <t>[R-N°]</t>
  </si>
  <si>
    <t>[Nombre del Requerimiento]</t>
  </si>
  <si>
    <t>Tipo Requerimiento
[Funcional, No Funcional]</t>
  </si>
  <si>
    <t>Actores Relacionados</t>
  </si>
  <si>
    <t>[Descripción corta del requerimiento]</t>
  </si>
  <si>
    <t>Estado</t>
  </si>
  <si>
    <t>R.1</t>
  </si>
  <si>
    <t>Vista inicial con Login</t>
  </si>
  <si>
    <t>Funcional</t>
  </si>
  <si>
    <t>Sistema</t>
  </si>
  <si>
    <t>En la vista inicial existe un login donde podra ingresar un administrador o un medico</t>
  </si>
  <si>
    <t>R.2</t>
  </si>
  <si>
    <t>Inicio de sesion</t>
  </si>
  <si>
    <t>Usuario</t>
  </si>
  <si>
    <t>El usuario rellena sus credenciales e inicia sesion</t>
  </si>
  <si>
    <t>R.3</t>
  </si>
  <si>
    <t>Verificación de credenciales</t>
  </si>
  <si>
    <t>Funcional de Sistema</t>
  </si>
  <si>
    <t>El sistema verifica en la base de datos si las credenciales de inicio de sesión son correctas o incorrectas; si son correctas permite el acceso, si no solicita reintentar.</t>
  </si>
  <si>
    <t>R.4</t>
  </si>
  <si>
    <t>Vista del administrador</t>
  </si>
  <si>
    <t>Si el administrador inicio sesión exitosamente el sistema muestra la vista correspondiente</t>
  </si>
  <si>
    <t>R.5</t>
  </si>
  <si>
    <t>Vista del medico</t>
  </si>
  <si>
    <t>Si el medico inicio sesión exitosamente el sistema muestra la vista correspondiente</t>
  </si>
  <si>
    <t>R.6</t>
  </si>
  <si>
    <t>Gestión de perfiles de usuario</t>
  </si>
  <si>
    <t>Funcional de Administrador</t>
  </si>
  <si>
    <t>Administrador</t>
  </si>
  <si>
    <t>El administrador puede asignar distintos roles a los usuarios (por ejemplo: Administrador, Médico), con permisos y accesos diferenciados.</t>
  </si>
  <si>
    <t>R.7</t>
  </si>
  <si>
    <t>CRUD de administradores y medicos</t>
  </si>
  <si>
    <t>Funcional de Usuario</t>
  </si>
  <si>
    <t>El administrador puede crear, ver, actualizar y eliminar administradores y medicos</t>
  </si>
  <si>
    <t>R.8</t>
  </si>
  <si>
    <t>Gestión interna de médicos en BD</t>
  </si>
  <si>
    <t>El sistema se comunica con la base de datos para almacenar, actualizar o eliminar los registros de los médicos creados por el administrador.</t>
  </si>
  <si>
    <t>R.9</t>
  </si>
  <si>
    <t>Registro de paciente</t>
  </si>
  <si>
    <t>Medico</t>
  </si>
  <si>
    <t>El medico puede registrar los datos del paciente segun las preguntas de negocio</t>
  </si>
  <si>
    <t>R.10</t>
  </si>
  <si>
    <t>Gestión interna de pacientes en BD</t>
  </si>
  <si>
    <t>El sistema guarda, actualiza y recupera los datos de los pacientes en la base de datos para futuras consultas y evaluaciones.</t>
  </si>
  <si>
    <t>R.11</t>
  </si>
  <si>
    <t>Solicitud de realización del test de riesgo</t>
  </si>
  <si>
    <t>El medico al hacer click en un boton puede solicitarle al sistema realizar el test</t>
  </si>
  <si>
    <t>R.12</t>
  </si>
  <si>
    <t>Evaluación de datos con modelo de machine learning</t>
  </si>
  <si>
    <t>Cuando el médico lo solicita, los datos del paciente se evalúan con el modelo de Machine Learning, que entrega el resultado de riesgo de cáncer.</t>
  </si>
  <si>
    <t>R.13</t>
  </si>
  <si>
    <t>Visualizacion de resultado de la predicción</t>
  </si>
  <si>
    <t>El sistema muestra al médico el resultado del test de riesgo de manera clara e interpretable.</t>
  </si>
  <si>
    <t>R.14</t>
  </si>
  <si>
    <t>Evaluación de datos historicos</t>
  </si>
  <si>
    <t>El médico puede solicitar ver los resultados de evaluaciones previas de un paciente.</t>
  </si>
  <si>
    <t>R.15</t>
  </si>
  <si>
    <t>Visualizacion de datos historicos</t>
  </si>
  <si>
    <t>El sistema muestra el historial de evaluaciones en una línea de tiempo con filtros por fecha.</t>
  </si>
  <si>
    <t>R.16</t>
  </si>
  <si>
    <t>Reporte de Power BI</t>
  </si>
  <si>
    <t>Funcional del sistema</t>
  </si>
  <si>
    <t>El sistema ofrece un panel con visualizaciones de Power BI</t>
  </si>
  <si>
    <t>R.17</t>
  </si>
  <si>
    <t>Integracion de Modelo de Machine learning</t>
  </si>
  <si>
    <t>El sistema se integra con el modelo de ML para el análisis de riesgo en tiempo real.</t>
  </si>
  <si>
    <t>R.18</t>
  </si>
  <si>
    <t>Seguridad</t>
  </si>
  <si>
    <t>No funcional</t>
  </si>
  <si>
    <t>Se debe proporcionar seguridad y confidencialidad de los datos recolectados.</t>
  </si>
  <si>
    <t>R.19</t>
  </si>
  <si>
    <t>Usabilidad sencilla</t>
  </si>
  <si>
    <t>El uso de la interfaz con la que tiene que interactuar el usuario será de carácter intuitivo</t>
  </si>
  <si>
    <t>R.20</t>
  </si>
  <si>
    <t>Estética web</t>
  </si>
  <si>
    <t>La estética que presenta nuestro producto será sencilla y precisa.</t>
  </si>
  <si>
    <t>R.21</t>
  </si>
  <si>
    <t>Disponibilidad</t>
  </si>
  <si>
    <t>El producto permitirá desenvolverse en distintos navegadores presentes.</t>
  </si>
  <si>
    <t>R.22</t>
  </si>
  <si>
    <t>Privacidad de datos</t>
  </si>
  <si>
    <t>Es un requerimiento externo que se deriva a la necesidad del sistema de cumplir con la legislación sobre la privacidad de los datos, al momento de que el cliente ingresa información al sistema interno y a algún software externo al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</si>
</sst>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2.0"/>
      <color rgb="FFFFFFFF"/>
      <name val="Calibri"/>
    </font>
    <font>
      <sz val="12.0"/>
      <color theme="0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</fills>
  <borders count="8">
    <border/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1" numFmtId="0" xfId="0" applyAlignment="1" applyBorder="1" applyFont="1">
      <alignment shrinkToFit="0" wrapText="1"/>
    </xf>
    <xf borderId="0" fillId="2" fontId="1" numFmtId="0" xfId="0" applyAlignment="1" applyFont="1">
      <alignment horizontal="left"/>
    </xf>
    <xf borderId="3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1.43"/>
    <col customWidth="1" min="3" max="3" width="25.71"/>
    <col customWidth="1" min="4" max="4" width="28.57"/>
    <col customWidth="1" min="5" max="5" width="22.43"/>
    <col customWidth="1" min="6" max="6" width="79.86"/>
    <col customWidth="1" min="7" max="7" width="43.14"/>
    <col customWidth="1" min="8" max="26" width="10.71"/>
  </cols>
  <sheetData>
    <row r="1" ht="40.5" customHeight="1">
      <c r="A1" s="1" t="s">
        <v>0</v>
      </c>
      <c r="B1" s="2" t="s">
        <v>1</v>
      </c>
      <c r="C1" s="3" t="s">
        <v>2</v>
      </c>
      <c r="D1" s="2"/>
      <c r="E1" s="4" t="s">
        <v>3</v>
      </c>
      <c r="F1" s="2" t="s">
        <v>4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4.5" customHeight="1">
      <c r="A2" s="7" t="s">
        <v>6</v>
      </c>
      <c r="B2" s="8" t="s">
        <v>7</v>
      </c>
      <c r="C2" s="7" t="s">
        <v>8</v>
      </c>
      <c r="D2" s="7" t="str">
        <f>CONCATENATE(C2," de sistema")</f>
        <v>Funcional de sistema</v>
      </c>
      <c r="E2" s="8" t="s">
        <v>9</v>
      </c>
      <c r="F2" s="9" t="s">
        <v>10</v>
      </c>
      <c r="G2" s="10"/>
    </row>
    <row r="3" ht="36.0" customHeight="1">
      <c r="A3" s="7" t="s">
        <v>11</v>
      </c>
      <c r="B3" s="8" t="s">
        <v>12</v>
      </c>
      <c r="C3" s="7" t="s">
        <v>8</v>
      </c>
      <c r="D3" s="11" t="str">
        <f>CONCATENATE(C3," de Usuario")</f>
        <v>Funcional de Usuario</v>
      </c>
      <c r="E3" s="8" t="s">
        <v>13</v>
      </c>
      <c r="F3" s="9" t="s">
        <v>14</v>
      </c>
      <c r="G3" s="10"/>
    </row>
    <row r="4" ht="37.5" customHeight="1">
      <c r="A4" s="8" t="s">
        <v>15</v>
      </c>
      <c r="B4" s="8" t="s">
        <v>16</v>
      </c>
      <c r="C4" s="8" t="s">
        <v>8</v>
      </c>
      <c r="D4" s="12" t="s">
        <v>17</v>
      </c>
      <c r="E4" s="8" t="s">
        <v>9</v>
      </c>
      <c r="F4" s="9" t="s">
        <v>18</v>
      </c>
      <c r="G4" s="10"/>
    </row>
    <row r="5" ht="29.25" customHeight="1">
      <c r="A5" s="8" t="s">
        <v>19</v>
      </c>
      <c r="B5" s="8" t="s">
        <v>20</v>
      </c>
      <c r="C5" s="7" t="s">
        <v>8</v>
      </c>
      <c r="D5" s="11" t="str">
        <f>CONCATENATE(C5," de Sistema")</f>
        <v>Funcional de Sistema</v>
      </c>
      <c r="E5" s="8" t="s">
        <v>9</v>
      </c>
      <c r="F5" s="9" t="s">
        <v>21</v>
      </c>
      <c r="G5" s="10"/>
    </row>
    <row r="6" ht="24.75" customHeight="1">
      <c r="A6" s="8" t="s">
        <v>22</v>
      </c>
      <c r="B6" s="8" t="s">
        <v>23</v>
      </c>
      <c r="C6" s="8" t="s">
        <v>8</v>
      </c>
      <c r="D6" s="12" t="s">
        <v>17</v>
      </c>
      <c r="E6" s="8" t="s">
        <v>9</v>
      </c>
      <c r="F6" s="9" t="s">
        <v>24</v>
      </c>
      <c r="G6" s="10"/>
    </row>
    <row r="7" ht="36.0" customHeight="1">
      <c r="A7" s="7" t="s">
        <v>25</v>
      </c>
      <c r="B7" s="8" t="s">
        <v>26</v>
      </c>
      <c r="C7" s="8" t="s">
        <v>8</v>
      </c>
      <c r="D7" s="12" t="s">
        <v>27</v>
      </c>
      <c r="E7" s="8" t="s">
        <v>28</v>
      </c>
      <c r="F7" s="9" t="s">
        <v>29</v>
      </c>
      <c r="G7" s="10"/>
    </row>
    <row r="8" ht="24.75" customHeight="1">
      <c r="A8" s="7" t="s">
        <v>30</v>
      </c>
      <c r="B8" s="8" t="s">
        <v>31</v>
      </c>
      <c r="C8" s="8" t="s">
        <v>8</v>
      </c>
      <c r="D8" s="12" t="s">
        <v>32</v>
      </c>
      <c r="E8" s="8" t="s">
        <v>28</v>
      </c>
      <c r="F8" s="9" t="s">
        <v>33</v>
      </c>
      <c r="G8" s="10"/>
    </row>
    <row r="9" ht="30.75" customHeight="1">
      <c r="A9" s="8" t="s">
        <v>34</v>
      </c>
      <c r="B9" s="8" t="s">
        <v>35</v>
      </c>
      <c r="C9" s="8" t="s">
        <v>8</v>
      </c>
      <c r="D9" s="12" t="s">
        <v>17</v>
      </c>
      <c r="E9" s="8" t="s">
        <v>9</v>
      </c>
      <c r="F9" s="9" t="s">
        <v>36</v>
      </c>
      <c r="G9" s="10"/>
    </row>
    <row r="10" ht="24.75" customHeight="1">
      <c r="A10" s="8" t="s">
        <v>37</v>
      </c>
      <c r="B10" s="8" t="s">
        <v>38</v>
      </c>
      <c r="C10" s="8" t="s">
        <v>8</v>
      </c>
      <c r="D10" s="12" t="s">
        <v>32</v>
      </c>
      <c r="E10" s="8" t="s">
        <v>39</v>
      </c>
      <c r="F10" s="9" t="s">
        <v>40</v>
      </c>
      <c r="G10" s="10"/>
    </row>
    <row r="11" ht="31.5" customHeight="1">
      <c r="A11" s="8" t="s">
        <v>41</v>
      </c>
      <c r="B11" s="8" t="s">
        <v>42</v>
      </c>
      <c r="C11" s="8" t="s">
        <v>8</v>
      </c>
      <c r="D11" s="12" t="s">
        <v>17</v>
      </c>
      <c r="E11" s="8" t="s">
        <v>9</v>
      </c>
      <c r="F11" s="9" t="s">
        <v>43</v>
      </c>
      <c r="G11" s="10"/>
    </row>
    <row r="12" ht="24.75" customHeight="1">
      <c r="A12" s="7" t="s">
        <v>44</v>
      </c>
      <c r="B12" s="8" t="s">
        <v>45</v>
      </c>
      <c r="C12" s="8" t="s">
        <v>8</v>
      </c>
      <c r="D12" s="12" t="s">
        <v>32</v>
      </c>
      <c r="E12" s="8" t="s">
        <v>39</v>
      </c>
      <c r="F12" s="9" t="s">
        <v>46</v>
      </c>
      <c r="G12" s="10"/>
    </row>
    <row r="13" ht="30.75" customHeight="1">
      <c r="A13" s="7" t="s">
        <v>47</v>
      </c>
      <c r="B13" s="8" t="s">
        <v>48</v>
      </c>
      <c r="C13" s="7" t="s">
        <v>8</v>
      </c>
      <c r="D13" s="11" t="str">
        <f>CONCATENATE(C13," de Sistema")</f>
        <v>Funcional de Sistema</v>
      </c>
      <c r="E13" s="8" t="s">
        <v>9</v>
      </c>
      <c r="F13" s="9" t="s">
        <v>49</v>
      </c>
      <c r="G13" s="10"/>
    </row>
    <row r="14" ht="36.0" customHeight="1">
      <c r="A14" s="8" t="s">
        <v>50</v>
      </c>
      <c r="B14" s="8" t="s">
        <v>51</v>
      </c>
      <c r="C14" s="8" t="s">
        <v>8</v>
      </c>
      <c r="D14" s="12" t="s">
        <v>17</v>
      </c>
      <c r="E14" s="8" t="s">
        <v>9</v>
      </c>
      <c r="F14" s="9" t="s">
        <v>52</v>
      </c>
      <c r="G14" s="10"/>
    </row>
    <row r="15" ht="24.75" customHeight="1">
      <c r="A15" s="8" t="s">
        <v>53</v>
      </c>
      <c r="B15" s="8" t="s">
        <v>54</v>
      </c>
      <c r="C15" s="8" t="s">
        <v>8</v>
      </c>
      <c r="D15" s="12" t="s">
        <v>32</v>
      </c>
      <c r="E15" s="8" t="s">
        <v>39</v>
      </c>
      <c r="F15" s="9" t="s">
        <v>55</v>
      </c>
      <c r="G15" s="10"/>
    </row>
    <row r="16" ht="32.25" customHeight="1">
      <c r="A16" s="8" t="s">
        <v>56</v>
      </c>
      <c r="B16" s="8" t="s">
        <v>57</v>
      </c>
      <c r="C16" s="8" t="s">
        <v>8</v>
      </c>
      <c r="D16" s="12" t="s">
        <v>17</v>
      </c>
      <c r="E16" s="8" t="s">
        <v>9</v>
      </c>
      <c r="F16" s="9" t="s">
        <v>58</v>
      </c>
      <c r="G16" s="10"/>
    </row>
    <row r="17" ht="24.75" customHeight="1">
      <c r="A17" s="7" t="s">
        <v>59</v>
      </c>
      <c r="B17" s="8" t="s">
        <v>60</v>
      </c>
      <c r="C17" s="8" t="s">
        <v>8</v>
      </c>
      <c r="D17" s="12" t="s">
        <v>61</v>
      </c>
      <c r="E17" s="8" t="s">
        <v>9</v>
      </c>
      <c r="F17" s="9" t="s">
        <v>62</v>
      </c>
      <c r="G17" s="10"/>
    </row>
    <row r="18" ht="24.75" customHeight="1">
      <c r="A18" s="7" t="s">
        <v>63</v>
      </c>
      <c r="B18" s="12" t="s">
        <v>64</v>
      </c>
      <c r="C18" s="7" t="s">
        <v>8</v>
      </c>
      <c r="D18" s="7" t="str">
        <f t="shared" ref="D18:D23" si="1">CONCATENATE(C18," de sistema")</f>
        <v>Funcional de sistema</v>
      </c>
      <c r="E18" s="7" t="s">
        <v>9</v>
      </c>
      <c r="F18" s="9" t="s">
        <v>65</v>
      </c>
      <c r="G18" s="10"/>
    </row>
    <row r="19" ht="25.5" customHeight="1">
      <c r="A19" s="8" t="s">
        <v>66</v>
      </c>
      <c r="B19" s="13" t="s">
        <v>67</v>
      </c>
      <c r="C19" s="7" t="s">
        <v>68</v>
      </c>
      <c r="D19" s="7" t="str">
        <f t="shared" si="1"/>
        <v>No funcional de sistema</v>
      </c>
      <c r="E19" s="7" t="s">
        <v>9</v>
      </c>
      <c r="F19" s="14" t="s">
        <v>69</v>
      </c>
      <c r="G19" s="10"/>
    </row>
    <row r="20" ht="33.0" customHeight="1">
      <c r="A20" s="8" t="s">
        <v>70</v>
      </c>
      <c r="B20" s="15" t="s">
        <v>71</v>
      </c>
      <c r="C20" s="16" t="s">
        <v>68</v>
      </c>
      <c r="D20" s="7" t="str">
        <f t="shared" si="1"/>
        <v>No funcional de sistema</v>
      </c>
      <c r="E20" s="17" t="s">
        <v>9</v>
      </c>
      <c r="F20" s="18" t="s">
        <v>72</v>
      </c>
      <c r="G20" s="19"/>
    </row>
    <row r="21" ht="15.0" customHeight="1">
      <c r="A21" s="8" t="s">
        <v>73</v>
      </c>
      <c r="B21" s="15" t="s">
        <v>74</v>
      </c>
      <c r="C21" s="16" t="s">
        <v>68</v>
      </c>
      <c r="D21" s="7" t="str">
        <f t="shared" si="1"/>
        <v>No funcional de sistema</v>
      </c>
      <c r="E21" s="17" t="s">
        <v>9</v>
      </c>
      <c r="F21" s="18" t="s">
        <v>75</v>
      </c>
      <c r="G21" s="19"/>
    </row>
    <row r="22" ht="14.25" customHeight="1">
      <c r="A22" s="7" t="s">
        <v>76</v>
      </c>
      <c r="B22" s="15" t="s">
        <v>77</v>
      </c>
      <c r="C22" s="16" t="s">
        <v>68</v>
      </c>
      <c r="D22" s="7" t="str">
        <f t="shared" si="1"/>
        <v>No funcional de sistema</v>
      </c>
      <c r="E22" s="17" t="s">
        <v>9</v>
      </c>
      <c r="F22" s="18" t="s">
        <v>78</v>
      </c>
      <c r="G22" s="20"/>
    </row>
    <row r="23" ht="29.25" customHeight="1">
      <c r="A23" s="7" t="s">
        <v>79</v>
      </c>
      <c r="B23" s="21" t="s">
        <v>80</v>
      </c>
      <c r="C23" s="16" t="s">
        <v>68</v>
      </c>
      <c r="D23" s="7" t="str">
        <f t="shared" si="1"/>
        <v>No funcional de sistema</v>
      </c>
      <c r="E23" s="17" t="s">
        <v>9</v>
      </c>
      <c r="F23" s="18" t="s">
        <v>81</v>
      </c>
      <c r="G23" s="19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